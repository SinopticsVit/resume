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2"/>
  </bookViews>
  <sheets>
    <sheet name="Сводка" sheetId="1" r:id="rId1"/>
    <sheet name="CAPEX" sheetId="2" r:id="rId2"/>
    <sheet name="Зарплаты и найм" sheetId="3" r:id="rId3"/>
    <sheet name="OPEX помесячно" sheetId="4" r:id="rId4"/>
    <sheet name="Денежный поток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<sst xmlns="http://schemas.openxmlformats.org/spreadsheetml/2006/main" count="156" uniqueCount="77">
  <si>
    <t>Бюджет представительства «Детского Мира» в КНР</t>
  </si>
  <si>
    <t>Помесячные сметы на первые 6 месяцев · Форма: RO (Шанхай + полевой ОТК Гуанчжоу)</t>
  </si>
  <si>
    <t>Валюты: CNY (основная), RUB справочно · Курс-ориентир: 1 CNY = 12 RUB</t>
  </si>
  <si>
    <t>Блок</t>
  </si>
  <si>
    <t>CNY</t>
  </si>
  <si>
    <t>RUB</t>
  </si>
  <si>
    <t>CAPEX (единовременно, старт)</t>
  </si>
  <si>
    <t>OPEX (6 мес., вкл. налог RO)</t>
  </si>
  <si>
    <t>ИТОГО за 6 месяцев</t>
  </si>
  <si>
    <t>Run-rate на 6-й месяц (полная команда): ~CNY 381 тыс./мес · годовой ~CNY 4,4–4,6 млн (~RUB 53–55 млн).</t>
  </si>
  <si>
    <t>Disclaimer: индикативные цифры на базе бенчмарков; требуют калибровки с HR/Finance.</t>
  </si>
  <si>
    <t>CAPEX — единовременные затраты старта</t>
  </si>
  <si>
    <t>Статья</t>
  </si>
  <si>
    <t>Комментарий</t>
  </si>
  <si>
    <t>Юридическая регистрация RO</t>
  </si>
  <si>
    <t>6–10 недель</t>
  </si>
  <si>
    <t>Регистрация ТМ в CNIPA (3 марки)</t>
  </si>
  <si>
    <t>до начала sourcing</t>
  </si>
  <si>
    <t>Офис: депозит + ремонт/мебель (~100 м²)</t>
  </si>
  <si>
    <t>Шанхай Grade A/B</t>
  </si>
  <si>
    <t>IT-капекс (ноутбуки, VPN, ERP-коннектор)</t>
  </si>
  <si>
    <t>подключение к HQ</t>
  </si>
  <si>
    <t>Стартовые командировки</t>
  </si>
  <si>
    <t>3–4 поездки</t>
  </si>
  <si>
    <t>Оборудование ОТК</t>
  </si>
  <si>
    <t>полевой набор</t>
  </si>
  <si>
    <t>Резерв (contingency ~10%)</t>
  </si>
  <si>
    <t/>
  </si>
  <si>
    <t>Итого CAPEX</t>
  </si>
  <si>
    <t>≈ USD 74 тыс.</t>
  </si>
  <si>
    <t>Зарплатные ориентиры (gross, CNY/мес) и график найма</t>
  </si>
  <si>
    <t>Роль</t>
  </si>
  <si>
    <t>Тип</t>
  </si>
  <si>
    <t>CNY/мес
Зарплата+налоги</t>
  </si>
  <si>
    <t>Компенсации жилье + обучение детей</t>
  </si>
  <si>
    <t>Релокация единоразово</t>
  </si>
  <si>
    <t>M1</t>
  </si>
  <si>
    <t>M2</t>
  </si>
  <si>
    <t>M3</t>
  </si>
  <si>
    <t>M4</t>
  </si>
  <si>
    <t>M5</t>
  </si>
  <si>
    <t>M6</t>
  </si>
  <si>
    <t>Директор (RU, экспат)</t>
  </si>
  <si>
    <t>Экспат</t>
  </si>
  <si>
    <t>●</t>
  </si>
  <si>
    <t>Технолог (RU, экспат)</t>
  </si>
  <si>
    <t>Кат. менеджер — игрушки (CN)</t>
  </si>
  <si>
    <t>Локальный</t>
  </si>
  <si>
    <t>Кат. менеджер — одежда (CN)</t>
  </si>
  <si>
    <t>Кат. менеджер — аксессуары (CN)</t>
  </si>
  <si>
    <t>Руководитель ОТК (CN)</t>
  </si>
  <si>
    <t>Бухгалтер штатный (CN)</t>
  </si>
  <si>
    <t>Инспектор ОТК №1 (CN)</t>
  </si>
  <si>
    <t>Инспектор ОТК №2 (CN)</t>
  </si>
  <si>
    <t>Офис-администратор (CN)</t>
  </si>
  <si>
    <t>Активных сотрудников</t>
  </si>
  <si>
    <t>Соцвзносы: ~35% gross локального (CN) персонала; ~15% по экспатам (RU).</t>
  </si>
  <si>
    <t>OPEX помесячно (CNY)</t>
  </si>
  <si>
    <t>Итого</t>
  </si>
  <si>
    <t>ФОТ (gross)</t>
  </si>
  <si>
    <t>Соцвзносы</t>
  </si>
  <si>
    <t>Аутсорс-бухгалтерия</t>
  </si>
  <si>
    <t>Аренда офиса</t>
  </si>
  <si>
    <t>Командировки и QC-выезды</t>
  </si>
  <si>
    <t>IT / связь (opex)</t>
  </si>
  <si>
    <t>Юр./комплаенс-ретейнер</t>
  </si>
  <si>
    <t>Прочее (перевод, ресёрч, hospit.)</t>
  </si>
  <si>
    <t>Подытог (до налога RO)</t>
  </si>
  <si>
    <t>Налог RO (deemed ~10% расходов)</t>
  </si>
  <si>
    <t>ИТОГО OPEX/мес</t>
  </si>
  <si>
    <t>ИТОГО OPEX/мес, RUB</t>
  </si>
  <si>
    <t>Денежный поток (CAPEX + OPEX), CNY</t>
  </si>
  <si>
    <t>CAPEX</t>
  </si>
  <si>
    <t>OPEX</t>
  </si>
  <si>
    <t>Итого/мес</t>
  </si>
  <si>
    <t>Итого/мес, RUB</t>
  </si>
  <si>
    <t>CAPEX концентрируется в M1–M2 (регистрация, офис, IT, ТМ); далее — дооснащение ОТК и резерв.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</si>
</sst>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4"/>
      <color rgb="FF1F3864"/>
      <name val="Calibri"/>
      <charset val="134"/>
    </font>
    <font>
      <b/>
      <sz val="11"/>
      <color rgb="FFFFFFFF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i/>
      <sz val="9"/>
      <color rgb="FF808080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right" vertical="center"/>
    </xf>
    <xf numFmtId="0" fontId="5" fillId="0" borderId="0" xfId="0" applyFont="1"/>
    <xf numFmtId="0" fontId="4" fillId="5" borderId="1" xfId="0" applyFont="1" applyFill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3" fontId="3" fillId="5" borderId="1" xfId="0" applyNumberFormat="1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2"/>
  <sheetViews>
    <sheetView showGridLines="0" workbookViewId="0">
      <selection activeCell="C7" sqref="C7"/>
    </sheetView>
  </sheetViews>
  <sheetFormatPr defaultColWidth="9" defaultRowHeight="15" outlineLevelCol="3"/>
  <cols>
    <col min="1" max="1" width="4" customWidth="1"/>
    <col min="2" max="2" width="42" customWidth="1"/>
    <col min="3" max="4" width="18" customWidth="1"/>
  </cols>
  <sheetData>
    <row r="2" ht="18.75" spans="2:4">
      <c r="B2" s="1" t="s">
        <v>0</v>
      </c>
    </row>
    <row r="3" spans="2:4">
      <c r="B3" s="9" t="s">
        <v>1</v>
      </c>
    </row>
    <row r="4" spans="2:4">
      <c r="B4" s="9" t="s">
        <v>2</v>
      </c>
    </row>
    <row r="6" spans="2:4">
      <c r="B6" s="2" t="s">
        <v>3</v>
      </c>
      <c r="C6" s="2" t="s">
        <v>4</v>
      </c>
      <c r="D6" s="2" t="s">
        <v>5</v>
      </c>
    </row>
    <row r="7" spans="2:4">
      <c r="B7" s="3" t="s">
        <v>6</v>
      </c>
      <c r="C7" s="4">
        <f>CAPEX!C12</f>
        <v>239000</v>
      </c>
      <c r="D7" s="4">
        <f>C7*12</f>
        <v>2868000</v>
      </c>
    </row>
    <row r="8" spans="2:4">
      <c r="B8" s="14" t="s">
        <v>7</v>
      </c>
      <c r="C8" s="17">
        <f>'OPEX помесячно'!I15</f>
        <v>1613920</v>
      </c>
      <c r="D8" s="17">
        <f>C8*12</f>
        <v>19367040</v>
      </c>
    </row>
    <row r="9" spans="2:4">
      <c r="B9" s="7" t="s">
        <v>8</v>
      </c>
      <c r="C9" s="8">
        <f>C7+C8</f>
        <v>1852920</v>
      </c>
      <c r="D9" s="8">
        <f>C9*12</f>
        <v>22235040</v>
      </c>
    </row>
    <row r="11" spans="2:4">
      <c r="B11" s="9" t="s">
        <v>9</v>
      </c>
    </row>
    <row r="12" spans="2:4">
      <c r="B12" s="9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2"/>
  <sheetViews>
    <sheetView showGridLines="0" workbookViewId="0">
      <selection activeCell="D23" sqref="D23"/>
    </sheetView>
  </sheetViews>
  <sheetFormatPr defaultColWidth="9" defaultRowHeight="15" outlineLevelCol="4"/>
  <cols>
    <col min="1" max="1" width="4" customWidth="1"/>
    <col min="2" max="2" width="44" customWidth="1"/>
    <col min="3" max="4" width="16" customWidth="1"/>
    <col min="5" max="5" width="26" customWidth="1"/>
  </cols>
  <sheetData>
    <row r="2" ht="18.75" spans="2:5">
      <c r="B2" s="1" t="s">
        <v>11</v>
      </c>
    </row>
    <row r="4" spans="2:5">
      <c r="B4" s="2" t="s">
        <v>12</v>
      </c>
      <c r="C4" s="2" t="s">
        <v>4</v>
      </c>
      <c r="D4" s="2" t="s">
        <v>5</v>
      </c>
      <c r="E4" s="2" t="s">
        <v>13</v>
      </c>
    </row>
    <row r="5" spans="2:5">
      <c r="B5" s="5" t="s">
        <v>14</v>
      </c>
      <c r="C5" s="6">
        <v>20000</v>
      </c>
      <c r="D5" s="6">
        <f t="shared" ref="D5:D12" si="0">C5*12</f>
        <v>240000</v>
      </c>
      <c r="E5" s="5" t="s">
        <v>15</v>
      </c>
    </row>
    <row r="6" spans="2:5">
      <c r="B6" s="5" t="s">
        <v>16</v>
      </c>
      <c r="C6" s="6">
        <v>10000</v>
      </c>
      <c r="D6" s="6">
        <f t="shared" si="0"/>
        <v>120000</v>
      </c>
      <c r="E6" s="5" t="s">
        <v>17</v>
      </c>
    </row>
    <row r="7" spans="2:5">
      <c r="B7" s="5" t="s">
        <v>18</v>
      </c>
      <c r="C7" s="6">
        <v>15000</v>
      </c>
      <c r="D7" s="6">
        <f t="shared" si="0"/>
        <v>180000</v>
      </c>
      <c r="E7" s="5" t="s">
        <v>19</v>
      </c>
    </row>
    <row r="8" spans="2:5">
      <c r="B8" s="5" t="s">
        <v>20</v>
      </c>
      <c r="C8" s="6">
        <v>50000</v>
      </c>
      <c r="D8" s="6">
        <f t="shared" si="0"/>
        <v>600000</v>
      </c>
      <c r="E8" s="5" t="s">
        <v>21</v>
      </c>
    </row>
    <row r="9" spans="2:5">
      <c r="B9" s="5" t="s">
        <v>22</v>
      </c>
      <c r="C9" s="6">
        <v>86000</v>
      </c>
      <c r="D9" s="6">
        <f t="shared" si="0"/>
        <v>1032000</v>
      </c>
      <c r="E9" s="5" t="s">
        <v>23</v>
      </c>
    </row>
    <row r="10" spans="2:5">
      <c r="B10" s="5" t="s">
        <v>24</v>
      </c>
      <c r="C10" s="6">
        <v>10000</v>
      </c>
      <c r="D10" s="6">
        <f t="shared" si="0"/>
        <v>120000</v>
      </c>
      <c r="E10" s="5" t="s">
        <v>25</v>
      </c>
    </row>
    <row r="11" spans="2:5">
      <c r="B11" s="5" t="s">
        <v>26</v>
      </c>
      <c r="C11" s="6">
        <v>48000</v>
      </c>
      <c r="D11" s="6">
        <f t="shared" si="0"/>
        <v>576000</v>
      </c>
      <c r="E11" s="5" t="s">
        <v>27</v>
      </c>
    </row>
    <row r="12" spans="2:5">
      <c r="B12" s="7" t="s">
        <v>28</v>
      </c>
      <c r="C12" s="8">
        <f>SUM(C5:C11)</f>
        <v>239000</v>
      </c>
      <c r="D12" s="8">
        <f t="shared" si="0"/>
        <v>2868000</v>
      </c>
      <c r="E12" s="16" t="s">
        <v>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7"/>
  <sheetViews>
    <sheetView showGridLines="0" tabSelected="1" workbookViewId="0">
      <selection activeCell="F6" sqref="F6"/>
    </sheetView>
  </sheetViews>
  <sheetFormatPr defaultColWidth="9" defaultRowHeight="15"/>
  <cols>
    <col min="1" max="1" width="4" customWidth="1"/>
    <col min="2" max="2" width="34" customWidth="1"/>
    <col min="3" max="3" width="13" customWidth="1"/>
    <col min="4" max="4" width="19.8571428571429" customWidth="1"/>
    <col min="5" max="5" width="14.8571428571429" customWidth="1"/>
    <col min="6" max="6" width="15.7142857142857" customWidth="1"/>
    <col min="7" max="12" width="7" customWidth="1"/>
  </cols>
  <sheetData>
    <row r="2" ht="18.75" spans="2:12">
      <c r="B2" s="1" t="s">
        <v>30</v>
      </c>
    </row>
    <row r="4" ht="60" spans="2:12"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</row>
    <row r="5" spans="2:12">
      <c r="B5" s="5" t="s">
        <v>42</v>
      </c>
      <c r="C5" s="12" t="s">
        <v>43</v>
      </c>
      <c r="D5" s="6">
        <v>50000</v>
      </c>
      <c r="E5" s="6">
        <v>20000</v>
      </c>
      <c r="F5" s="6"/>
      <c r="G5" s="12" t="s">
        <v>44</v>
      </c>
      <c r="H5" s="12" t="s">
        <v>44</v>
      </c>
      <c r="I5" s="12" t="s">
        <v>44</v>
      </c>
      <c r="J5" s="12" t="s">
        <v>44</v>
      </c>
      <c r="K5" s="12" t="s">
        <v>44</v>
      </c>
      <c r="L5" s="12" t="s">
        <v>44</v>
      </c>
    </row>
    <row r="6" spans="2:12">
      <c r="B6" s="5" t="s">
        <v>45</v>
      </c>
      <c r="C6" s="12" t="s">
        <v>43</v>
      </c>
      <c r="D6" s="6">
        <v>30000</v>
      </c>
      <c r="E6" s="6">
        <v>20000</v>
      </c>
      <c r="F6" s="6">
        <v>20000</v>
      </c>
      <c r="G6" s="12" t="s">
        <v>27</v>
      </c>
      <c r="H6" s="12" t="s">
        <v>27</v>
      </c>
      <c r="I6" s="12" t="s">
        <v>27</v>
      </c>
      <c r="J6" s="12" t="s">
        <v>27</v>
      </c>
      <c r="K6" s="12"/>
      <c r="L6" s="12" t="s">
        <v>44</v>
      </c>
    </row>
    <row r="7" spans="2:12">
      <c r="B7" s="5" t="s">
        <v>46</v>
      </c>
      <c r="C7" s="12" t="s">
        <v>47</v>
      </c>
      <c r="D7" s="6">
        <v>18500</v>
      </c>
      <c r="E7" s="6"/>
      <c r="F7" s="6"/>
      <c r="G7" s="12" t="s">
        <v>27</v>
      </c>
      <c r="H7" s="12" t="s">
        <v>44</v>
      </c>
      <c r="I7" s="12" t="s">
        <v>44</v>
      </c>
      <c r="J7" s="12" t="s">
        <v>44</v>
      </c>
      <c r="K7" s="12" t="s">
        <v>44</v>
      </c>
      <c r="L7" s="12" t="s">
        <v>44</v>
      </c>
    </row>
    <row r="8" spans="2:12">
      <c r="B8" s="5" t="s">
        <v>48</v>
      </c>
      <c r="C8" s="12" t="s">
        <v>47</v>
      </c>
      <c r="D8" s="6">
        <v>18500</v>
      </c>
      <c r="E8" s="6"/>
      <c r="F8" s="6"/>
      <c r="G8" s="12" t="s">
        <v>27</v>
      </c>
      <c r="H8" s="12" t="s">
        <v>27</v>
      </c>
      <c r="I8" s="12"/>
      <c r="J8" s="12" t="s">
        <v>44</v>
      </c>
      <c r="K8" s="12" t="s">
        <v>44</v>
      </c>
      <c r="L8" s="12" t="s">
        <v>44</v>
      </c>
    </row>
    <row r="9" spans="2:12">
      <c r="B9" s="5" t="s">
        <v>49</v>
      </c>
      <c r="C9" s="12" t="s">
        <v>47</v>
      </c>
      <c r="D9" s="6">
        <v>18500</v>
      </c>
      <c r="E9" s="6"/>
      <c r="F9" s="6"/>
      <c r="G9" s="12" t="s">
        <v>27</v>
      </c>
      <c r="H9" s="12" t="s">
        <v>27</v>
      </c>
      <c r="I9" s="12"/>
      <c r="J9" s="12"/>
      <c r="K9" s="12"/>
      <c r="L9" s="12" t="s">
        <v>44</v>
      </c>
    </row>
    <row r="10" spans="2:12">
      <c r="B10" s="5" t="s">
        <v>50</v>
      </c>
      <c r="C10" s="12" t="s">
        <v>47</v>
      </c>
      <c r="D10" s="6">
        <v>18000</v>
      </c>
      <c r="E10" s="6"/>
      <c r="F10" s="6"/>
      <c r="G10" s="12" t="s">
        <v>27</v>
      </c>
      <c r="H10" s="13" t="s">
        <v>44</v>
      </c>
      <c r="I10" s="12" t="s">
        <v>44</v>
      </c>
      <c r="J10" s="12" t="s">
        <v>44</v>
      </c>
      <c r="K10" s="12" t="s">
        <v>44</v>
      </c>
      <c r="L10" s="12" t="s">
        <v>44</v>
      </c>
    </row>
    <row r="11" spans="2:12">
      <c r="B11" s="5" t="s">
        <v>51</v>
      </c>
      <c r="C11" s="12" t="s">
        <v>47</v>
      </c>
      <c r="D11" s="6">
        <v>16000</v>
      </c>
      <c r="E11" s="6"/>
      <c r="F11" s="6"/>
      <c r="G11" s="12" t="s">
        <v>27</v>
      </c>
      <c r="H11" s="12" t="s">
        <v>27</v>
      </c>
      <c r="I11" s="13" t="s">
        <v>44</v>
      </c>
      <c r="J11" s="12" t="s">
        <v>44</v>
      </c>
      <c r="K11" s="12" t="s">
        <v>44</v>
      </c>
      <c r="L11" s="12" t="s">
        <v>44</v>
      </c>
    </row>
    <row r="12" spans="2:12">
      <c r="B12" s="5" t="s">
        <v>52</v>
      </c>
      <c r="C12" s="12" t="s">
        <v>47</v>
      </c>
      <c r="D12" s="6">
        <v>10000</v>
      </c>
      <c r="E12" s="6"/>
      <c r="F12" s="6"/>
      <c r="G12" s="12" t="s">
        <v>27</v>
      </c>
      <c r="H12" s="12" t="s">
        <v>27</v>
      </c>
      <c r="I12" s="12" t="s">
        <v>27</v>
      </c>
      <c r="J12" s="12" t="s">
        <v>44</v>
      </c>
      <c r="K12" s="12" t="s">
        <v>44</v>
      </c>
      <c r="L12" s="12" t="s">
        <v>44</v>
      </c>
    </row>
    <row r="13" spans="2:12">
      <c r="B13" s="5" t="s">
        <v>53</v>
      </c>
      <c r="C13" s="12" t="s">
        <v>47</v>
      </c>
      <c r="D13" s="6">
        <v>10000</v>
      </c>
      <c r="E13" s="6"/>
      <c r="F13" s="6"/>
      <c r="G13" s="12" t="s">
        <v>27</v>
      </c>
      <c r="H13" s="12" t="s">
        <v>27</v>
      </c>
      <c r="I13" s="12" t="s">
        <v>27</v>
      </c>
      <c r="J13" s="12" t="s">
        <v>27</v>
      </c>
      <c r="K13" s="12"/>
      <c r="L13" s="12" t="s">
        <v>44</v>
      </c>
    </row>
    <row r="14" spans="2:12">
      <c r="B14" s="5" t="s">
        <v>54</v>
      </c>
      <c r="C14" s="12" t="s">
        <v>47</v>
      </c>
      <c r="D14" s="6">
        <v>10000</v>
      </c>
      <c r="E14" s="6"/>
      <c r="F14" s="6"/>
      <c r="G14" s="12" t="s">
        <v>27</v>
      </c>
      <c r="H14" s="12"/>
      <c r="I14" s="12" t="s">
        <v>44</v>
      </c>
      <c r="J14" s="12" t="s">
        <v>44</v>
      </c>
      <c r="K14" s="12" t="s">
        <v>44</v>
      </c>
      <c r="L14" s="12" t="s">
        <v>44</v>
      </c>
    </row>
    <row r="15" spans="2:12">
      <c r="B15" s="10" t="s">
        <v>55</v>
      </c>
      <c r="C15" s="14" t="s">
        <v>27</v>
      </c>
      <c r="D15" s="14" t="s">
        <v>27</v>
      </c>
      <c r="E15" s="14"/>
      <c r="F15" s="14"/>
      <c r="G15" s="15">
        <v>1</v>
      </c>
      <c r="H15" s="15">
        <v>3</v>
      </c>
      <c r="I15" s="15">
        <v>5</v>
      </c>
      <c r="J15" s="15">
        <v>6</v>
      </c>
      <c r="K15" s="15">
        <v>7</v>
      </c>
      <c r="L15" s="15">
        <v>10</v>
      </c>
    </row>
    <row r="17" spans="2:2">
      <c r="B17" s="9" t="s">
        <v>56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6"/>
  <sheetViews>
    <sheetView showGridLines="0" workbookViewId="0">
      <selection activeCell="C5" sqref="C5"/>
    </sheetView>
  </sheetViews>
  <sheetFormatPr defaultColWidth="9" defaultRowHeight="15"/>
  <cols>
    <col min="1" max="1" width="4" customWidth="1"/>
    <col min="2" max="2" width="34" customWidth="1"/>
    <col min="3" max="8" width="12" customWidth="1"/>
    <col min="9" max="9" width="13" customWidth="1"/>
  </cols>
  <sheetData>
    <row r="2" ht="18.75" spans="2:9">
      <c r="B2" s="1" t="s">
        <v>57</v>
      </c>
    </row>
    <row r="4" spans="2:9">
      <c r="B4" s="2" t="s">
        <v>12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58</v>
      </c>
    </row>
    <row r="5" spans="2:9">
      <c r="B5" s="5" t="s">
        <v>59</v>
      </c>
      <c r="C5" s="6">
        <v>60000</v>
      </c>
      <c r="D5" s="6">
        <v>88500</v>
      </c>
      <c r="E5" s="6">
        <v>143500</v>
      </c>
      <c r="F5" s="6">
        <v>169500</v>
      </c>
      <c r="G5" s="6">
        <v>221500</v>
      </c>
      <c r="H5" s="6">
        <v>221500</v>
      </c>
      <c r="I5" s="6">
        <f t="shared" ref="I5:I16" si="0">SUM(C5:H5)</f>
        <v>904500</v>
      </c>
    </row>
    <row r="6" spans="2:9">
      <c r="B6" s="5" t="s">
        <v>60</v>
      </c>
      <c r="C6" s="6">
        <v>9000</v>
      </c>
      <c r="D6" s="6">
        <v>19000</v>
      </c>
      <c r="E6" s="6">
        <v>38200</v>
      </c>
      <c r="F6" s="6">
        <v>47300</v>
      </c>
      <c r="G6" s="6">
        <v>57100</v>
      </c>
      <c r="H6" s="6">
        <v>57100</v>
      </c>
      <c r="I6" s="6">
        <f t="shared" si="0"/>
        <v>227700</v>
      </c>
    </row>
    <row r="7" spans="2:9">
      <c r="B7" s="5" t="s">
        <v>61</v>
      </c>
      <c r="C7" s="6">
        <v>8000</v>
      </c>
      <c r="D7" s="6">
        <v>8000</v>
      </c>
      <c r="E7" s="6">
        <v>8000</v>
      </c>
      <c r="F7" s="6">
        <v>0</v>
      </c>
      <c r="G7" s="6">
        <v>0</v>
      </c>
      <c r="H7" s="6">
        <v>0</v>
      </c>
      <c r="I7" s="6">
        <f t="shared" si="0"/>
        <v>24000</v>
      </c>
    </row>
    <row r="8" spans="2:9">
      <c r="B8" s="5" t="s">
        <v>62</v>
      </c>
      <c r="C8" s="6">
        <v>6000</v>
      </c>
      <c r="D8" s="6">
        <v>6000</v>
      </c>
      <c r="E8" s="6">
        <v>20000</v>
      </c>
      <c r="F8" s="6">
        <v>20000</v>
      </c>
      <c r="G8" s="6">
        <v>20000</v>
      </c>
      <c r="H8" s="6">
        <v>20000</v>
      </c>
      <c r="I8" s="6">
        <f t="shared" si="0"/>
        <v>92000</v>
      </c>
    </row>
    <row r="9" spans="2:9">
      <c r="B9" s="5" t="s">
        <v>63</v>
      </c>
      <c r="C9" s="6">
        <v>5000</v>
      </c>
      <c r="D9" s="6">
        <v>10000</v>
      </c>
      <c r="E9" s="6">
        <v>20000</v>
      </c>
      <c r="F9" s="6">
        <v>30000</v>
      </c>
      <c r="G9" s="6">
        <v>35000</v>
      </c>
      <c r="H9" s="6">
        <v>35000</v>
      </c>
      <c r="I9" s="6">
        <f t="shared" si="0"/>
        <v>135000</v>
      </c>
    </row>
    <row r="10" spans="2:9">
      <c r="B10" s="5" t="s">
        <v>64</v>
      </c>
      <c r="C10" s="6">
        <v>3000</v>
      </c>
      <c r="D10" s="6">
        <v>5000</v>
      </c>
      <c r="E10" s="6">
        <v>5000</v>
      </c>
      <c r="F10" s="6">
        <v>5000</v>
      </c>
      <c r="G10" s="6">
        <v>5000</v>
      </c>
      <c r="H10" s="6">
        <v>5000</v>
      </c>
      <c r="I10" s="6">
        <f t="shared" si="0"/>
        <v>28000</v>
      </c>
    </row>
    <row r="11" spans="2:9">
      <c r="B11" s="5" t="s">
        <v>65</v>
      </c>
      <c r="C11" s="6">
        <v>10000</v>
      </c>
      <c r="D11" s="6">
        <v>8000</v>
      </c>
      <c r="E11" s="6">
        <v>5000</v>
      </c>
      <c r="F11" s="6">
        <v>5000</v>
      </c>
      <c r="G11" s="6">
        <v>5000</v>
      </c>
      <c r="H11" s="6">
        <v>5000</v>
      </c>
      <c r="I11" s="6">
        <f t="shared" si="0"/>
        <v>38000</v>
      </c>
    </row>
    <row r="12" spans="2:9">
      <c r="B12" s="5" t="s">
        <v>66</v>
      </c>
      <c r="C12" s="6">
        <v>3000</v>
      </c>
      <c r="D12" s="6">
        <v>3000</v>
      </c>
      <c r="E12" s="6">
        <v>3000</v>
      </c>
      <c r="F12" s="6">
        <v>3000</v>
      </c>
      <c r="G12" s="6">
        <v>3000</v>
      </c>
      <c r="H12" s="6">
        <v>3000</v>
      </c>
      <c r="I12" s="6">
        <f t="shared" si="0"/>
        <v>18000</v>
      </c>
    </row>
    <row r="13" spans="2:9">
      <c r="B13" s="10" t="s">
        <v>67</v>
      </c>
      <c r="C13" s="11">
        <f t="shared" ref="C13:H13" si="1">SUM(C5:C12)</f>
        <v>104000</v>
      </c>
      <c r="D13" s="11">
        <f t="shared" si="1"/>
        <v>147500</v>
      </c>
      <c r="E13" s="11">
        <f t="shared" si="1"/>
        <v>242700</v>
      </c>
      <c r="F13" s="11">
        <f t="shared" si="1"/>
        <v>279800</v>
      </c>
      <c r="G13" s="11">
        <f t="shared" si="1"/>
        <v>346600</v>
      </c>
      <c r="H13" s="11">
        <f t="shared" si="1"/>
        <v>346600</v>
      </c>
      <c r="I13" s="11">
        <f t="shared" si="0"/>
        <v>1467200</v>
      </c>
    </row>
    <row r="14" spans="2:9">
      <c r="B14" s="5" t="s">
        <v>68</v>
      </c>
      <c r="C14" s="6">
        <f t="shared" ref="C14:H14" si="2">ROUND(C13*0.1,0)</f>
        <v>10400</v>
      </c>
      <c r="D14" s="6">
        <f t="shared" si="2"/>
        <v>14750</v>
      </c>
      <c r="E14" s="6">
        <f t="shared" si="2"/>
        <v>24270</v>
      </c>
      <c r="F14" s="6">
        <f t="shared" si="2"/>
        <v>27980</v>
      </c>
      <c r="G14" s="6">
        <f t="shared" si="2"/>
        <v>34660</v>
      </c>
      <c r="H14" s="6">
        <f t="shared" si="2"/>
        <v>34660</v>
      </c>
      <c r="I14" s="6">
        <f t="shared" si="0"/>
        <v>146720</v>
      </c>
    </row>
    <row r="15" spans="2:9">
      <c r="B15" s="7" t="s">
        <v>69</v>
      </c>
      <c r="C15" s="8">
        <f t="shared" ref="C15:H15" si="3">C13+C14</f>
        <v>114400</v>
      </c>
      <c r="D15" s="8">
        <f t="shared" si="3"/>
        <v>162250</v>
      </c>
      <c r="E15" s="8">
        <f t="shared" si="3"/>
        <v>266970</v>
      </c>
      <c r="F15" s="8">
        <f t="shared" si="3"/>
        <v>307780</v>
      </c>
      <c r="G15" s="8">
        <f t="shared" si="3"/>
        <v>381260</v>
      </c>
      <c r="H15" s="8">
        <f t="shared" si="3"/>
        <v>381260</v>
      </c>
      <c r="I15" s="8">
        <f t="shared" si="0"/>
        <v>1613920</v>
      </c>
    </row>
    <row r="16" spans="2:9">
      <c r="B16" s="5" t="s">
        <v>70</v>
      </c>
      <c r="C16" s="6">
        <f t="shared" ref="C16:H16" si="4">C15*12</f>
        <v>1372800</v>
      </c>
      <c r="D16" s="6">
        <f t="shared" si="4"/>
        <v>1947000</v>
      </c>
      <c r="E16" s="6">
        <f t="shared" si="4"/>
        <v>3203640</v>
      </c>
      <c r="F16" s="6">
        <f t="shared" si="4"/>
        <v>3693360</v>
      </c>
      <c r="G16" s="6">
        <f t="shared" si="4"/>
        <v>4575120</v>
      </c>
      <c r="H16" s="6">
        <f t="shared" si="4"/>
        <v>4575120</v>
      </c>
      <c r="I16" s="6">
        <f t="shared" si="0"/>
        <v>19367040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0"/>
  <sheetViews>
    <sheetView showGridLines="0" workbookViewId="0">
      <selection activeCell="A1" sqref="A1"/>
    </sheetView>
  </sheetViews>
  <sheetFormatPr defaultColWidth="9" defaultRowHeight="15"/>
  <cols>
    <col min="1" max="1" width="4" customWidth="1"/>
    <col min="2" max="2" width="30" customWidth="1"/>
    <col min="3" max="8" width="12" customWidth="1"/>
    <col min="9" max="9" width="13" customWidth="1"/>
  </cols>
  <sheetData>
    <row r="2" ht="18.75" spans="2:9">
      <c r="B2" s="1" t="s">
        <v>71</v>
      </c>
    </row>
    <row r="4" spans="2:9">
      <c r="B4" s="2" t="s">
        <v>12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58</v>
      </c>
    </row>
    <row r="5" spans="2:9">
      <c r="B5" s="3" t="s">
        <v>72</v>
      </c>
      <c r="C5" s="4">
        <v>320000</v>
      </c>
      <c r="D5" s="4">
        <v>161000</v>
      </c>
      <c r="E5" s="4">
        <v>30000</v>
      </c>
      <c r="F5" s="4">
        <v>20000</v>
      </c>
      <c r="G5" s="4">
        <v>0</v>
      </c>
      <c r="H5" s="4">
        <v>0</v>
      </c>
      <c r="I5" s="4">
        <f>SUM(C5:H5)</f>
        <v>531000</v>
      </c>
    </row>
    <row r="6" spans="2:9">
      <c r="B6" s="5" t="s">
        <v>73</v>
      </c>
      <c r="C6" s="6">
        <f>'OPEX помесячно'!C15</f>
        <v>114400</v>
      </c>
      <c r="D6" s="6">
        <f>'OPEX помесячно'!D15</f>
        <v>162250</v>
      </c>
      <c r="E6" s="6">
        <f>'OPEX помесячно'!E15</f>
        <v>266970</v>
      </c>
      <c r="F6" s="6">
        <f>'OPEX помесячно'!F15</f>
        <v>307780</v>
      </c>
      <c r="G6" s="6">
        <f>'OPEX помесячно'!G15</f>
        <v>381260</v>
      </c>
      <c r="H6" s="6">
        <f>'OPEX помесячно'!H15</f>
        <v>381260</v>
      </c>
      <c r="I6" s="6">
        <f>SUM(C6:H6)</f>
        <v>1613920</v>
      </c>
    </row>
    <row r="7" spans="2:9">
      <c r="B7" s="7" t="s">
        <v>74</v>
      </c>
      <c r="C7" s="8">
        <f t="shared" ref="C7:H7" si="0">C5+C6</f>
        <v>434400</v>
      </c>
      <c r="D7" s="8">
        <f t="shared" si="0"/>
        <v>323250</v>
      </c>
      <c r="E7" s="8">
        <f t="shared" si="0"/>
        <v>296970</v>
      </c>
      <c r="F7" s="8">
        <f t="shared" si="0"/>
        <v>327780</v>
      </c>
      <c r="G7" s="8">
        <f t="shared" si="0"/>
        <v>381260</v>
      </c>
      <c r="H7" s="8">
        <f t="shared" si="0"/>
        <v>381260</v>
      </c>
      <c r="I7" s="8">
        <f>SUM(C7:H7)</f>
        <v>2144920</v>
      </c>
    </row>
    <row r="8" spans="2:9">
      <c r="B8" s="5" t="s">
        <v>75</v>
      </c>
      <c r="C8" s="6">
        <f t="shared" ref="C8:H8" si="1">C7*12</f>
        <v>5212800</v>
      </c>
      <c r="D8" s="6">
        <f t="shared" si="1"/>
        <v>3879000</v>
      </c>
      <c r="E8" s="6">
        <f t="shared" si="1"/>
        <v>3563640</v>
      </c>
      <c r="F8" s="6">
        <f t="shared" si="1"/>
        <v>3933360</v>
      </c>
      <c r="G8" s="6">
        <f t="shared" si="1"/>
        <v>4575120</v>
      </c>
      <c r="H8" s="6">
        <f t="shared" si="1"/>
        <v>4575120</v>
      </c>
      <c r="I8" s="6">
        <f>SUM(C8:H8)</f>
        <v>25739040</v>
      </c>
    </row>
    <row r="10" spans="2:9">
      <c r="B10" s="9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Сводка</vt:lpstr>
      <vt:lpstr>CAPEX</vt:lpstr>
      <vt:lpstr>Зарплаты и найм</vt:lpstr>
      <vt:lpstr>OPEX помесячно</vt:lpstr>
      <vt:lpstr>Денежный поток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hfld_rf</cp:lastModifiedBy>
  <dcterms:created xsi:type="dcterms:W3CDTF">2026-05-29T07:14:00Z</dcterms:created>
  <dcterms:modified xsi:type="dcterms:W3CDTF">2026-05-29T08:10:39Z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54FC7DB7EFEA4EFAB4B64B9B989A49F1_12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
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CAPEX" sheetId="2" state="visible" r:id="rId2"/>
    <sheet xmlns:r="http://schemas.openxmlformats.org/officeDocument/2006/relationships" name="Зарплаты и найм" sheetId="3" state="visible" r:id="rId3"/>
    <sheet xmlns:r="http://schemas.openxmlformats.org/officeDocument/2006/relationships" name="OPEX помесячно" sheetId="4" state="visible" r:id="rId4"/>
    <sheet xmlns:r="http://schemas.openxmlformats.org/officeDocument/2006/relationships" name="Денежный пото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right" vertical="center"/>
    </xf>
    <xf numFmtId="0" fontId="5" fillId="0" borderId="0" pivotButton="0" quotePrefix="0" xfId="0"/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</cols>
  <sheetData>
    <row r="2">
      <c r="B2" s="1" t="inlineStr">
        <is>
          <t>Бюджет представительства «Детского Мира» в КНР</t>
        </is>
      </c>
    </row>
    <row r="3">
      <c r="B3" s="2" t="inlineStr">
        <is>
          <t>Помесячные сметы на 6 месяцев (формулы от листа «Зарплаты и найм»)</t>
        </is>
      </c>
    </row>
    <row r="6">
      <c r="B6" s="3" t="inlineStr">
        <is>
          <t>Блок</t>
        </is>
      </c>
      <c r="C6" s="3" t="inlineStr">
        <is>
          <t>CNY</t>
        </is>
      </c>
      <c r="D6" s="3" t="inlineStr">
        <is>
          <t>RUB</t>
        </is>
      </c>
    </row>
    <row r="7">
      <c r="B7" s="4" t="inlineStr">
        <is>
          <t>CAPEX (единовременно, старт)</t>
        </is>
      </c>
      <c r="C7" s="5">
        <f>CAPEX!C12</f>
        <v/>
      </c>
      <c r="D7" s="5">
        <f>C7*'Зарплаты и найм'!$D20</f>
        <v/>
      </c>
    </row>
    <row r="8">
      <c r="B8" s="6" t="inlineStr">
        <is>
          <t>OPEX (6 мес., вкл. налог RO)</t>
        </is>
      </c>
      <c r="C8" s="7">
        <f>'OPEX помесячно'!I15</f>
        <v/>
      </c>
      <c r="D8" s="7">
        <f>C8*'Зарплаты и найм'!$D20</f>
        <v/>
      </c>
    </row>
    <row r="9">
      <c r="B9" s="8" t="inlineStr">
        <is>
          <t>ИТОГО за 6 месяцев</t>
        </is>
      </c>
      <c r="C9" s="9">
        <f>C7+C8</f>
        <v/>
      </c>
      <c r="D9" s="9">
        <f>C9*'Зарплаты и найм'!$D20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16" customWidth="1" min="4" max="4"/>
    <col width="26" customWidth="1" min="5" max="5"/>
  </cols>
  <sheetData>
    <row r="2">
      <c r="B2" s="1" t="inlineStr">
        <is>
          <t>CAPEX — единовременные затраты старта</t>
        </is>
      </c>
    </row>
    <row r="4">
      <c r="B4" s="3" t="inlineStr">
        <is>
          <t>Статья</t>
        </is>
      </c>
      <c r="C4" s="3" t="inlineStr">
        <is>
          <t>CNY</t>
        </is>
      </c>
      <c r="D4" s="3" t="inlineStr">
        <is>
          <t>RUB</t>
        </is>
      </c>
      <c r="E4" s="3" t="inlineStr">
        <is>
          <t>Комментарий</t>
        </is>
      </c>
    </row>
    <row r="5">
      <c r="B5" s="10" t="inlineStr">
        <is>
          <t>Юридическая регистрация RO</t>
        </is>
      </c>
      <c r="C5" s="11">
        <f>'Зарплаты и найм'!C35</f>
        <v/>
      </c>
      <c r="D5" s="11">
        <f>C5*'Зарплаты и найм'!$D20</f>
        <v/>
      </c>
      <c r="E5" s="10" t="inlineStr">
        <is>
          <t>6–10 недель</t>
        </is>
      </c>
    </row>
    <row r="6">
      <c r="B6" s="10" t="inlineStr">
        <is>
          <t>Регистрация ТМ в CNIPA (3 марки)</t>
        </is>
      </c>
      <c r="C6" s="11">
        <f>'Зарплаты и найм'!C36</f>
        <v/>
      </c>
      <c r="D6" s="11">
        <f>C6*'Зарплаты и найм'!$D20</f>
        <v/>
      </c>
      <c r="E6" s="10" t="inlineStr">
        <is>
          <t>до начала sourcing</t>
        </is>
      </c>
    </row>
    <row r="7">
      <c r="B7" s="10" t="inlineStr">
        <is>
          <t>Офис: депозит + ремонт/мебель (~100 м²)</t>
        </is>
      </c>
      <c r="C7" s="11">
        <f>'Зарплаты и найм'!C37</f>
        <v/>
      </c>
      <c r="D7" s="11">
        <f>C7*'Зарплаты и найм'!$D20</f>
        <v/>
      </c>
      <c r="E7" s="10" t="inlineStr">
        <is>
          <t>Шанхай Grade A/B</t>
        </is>
      </c>
    </row>
    <row r="8">
      <c r="B8" s="10" t="inlineStr">
        <is>
          <t>IT-капекс (ноутбуки, VPN, ERP-коннектор)</t>
        </is>
      </c>
      <c r="C8" s="11">
        <f>'Зарплаты и найм'!C38</f>
        <v/>
      </c>
      <c r="D8" s="11">
        <f>C8*'Зарплаты и найм'!$D20</f>
        <v/>
      </c>
      <c r="E8" s="10" t="inlineStr">
        <is>
          <t>подключение к HQ</t>
        </is>
      </c>
    </row>
    <row r="9">
      <c r="B9" s="10" t="inlineStr">
        <is>
          <t>Стартовые командировки</t>
        </is>
      </c>
      <c r="C9" s="11">
        <f>'Зарплаты и найм'!C39</f>
        <v/>
      </c>
      <c r="D9" s="11">
        <f>C9*'Зарплаты и найм'!$D20</f>
        <v/>
      </c>
      <c r="E9" s="10" t="inlineStr">
        <is>
          <t>3–4 поездки</t>
        </is>
      </c>
    </row>
    <row r="10">
      <c r="B10" s="10" t="inlineStr">
        <is>
          <t>Оборудование ОТК</t>
        </is>
      </c>
      <c r="C10" s="11">
        <f>'Зарплаты и найм'!C40</f>
        <v/>
      </c>
      <c r="D10" s="11">
        <f>C10*'Зарплаты и найм'!$D20</f>
        <v/>
      </c>
      <c r="E10" s="10" t="inlineStr">
        <is>
          <t>полевой набор</t>
        </is>
      </c>
    </row>
    <row r="11">
      <c r="B11" s="10" t="inlineStr">
        <is>
          <t>Резерв (contingency ~10%)</t>
        </is>
      </c>
      <c r="C11" s="11">
        <f>'Зарплаты и найм'!C41</f>
        <v/>
      </c>
      <c r="D11" s="11">
        <f>C11*'Зарплаты и найм'!$D20</f>
        <v/>
      </c>
      <c r="E11" s="10" t="inlineStr"/>
    </row>
    <row r="12">
      <c r="B12" s="8" t="inlineStr">
        <is>
          <t>Итого CAPEX</t>
        </is>
      </c>
      <c r="C12" s="9">
        <f>SUM(C5:C11)</f>
        <v/>
      </c>
      <c r="D12" s="9">
        <f>C12*'Зарплаты и найм'!$D20</f>
        <v/>
      </c>
      <c r="E12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7" customWidth="1" min="4" max="4"/>
    <col width="23" customWidth="1" min="5" max="5"/>
    <col width="1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2">
      <c r="B2" s="1" t="inlineStr">
        <is>
          <t>Исходные данные бюджета (редактировать серые ячейки)</t>
        </is>
      </c>
    </row>
    <row r="4">
      <c r="B4" s="3" t="inlineStr">
        <is>
          <t>Роль</t>
        </is>
      </c>
      <c r="C4" s="3" t="inlineStr">
        <is>
          <t>Тип</t>
        </is>
      </c>
      <c r="D4" s="3" t="inlineStr">
        <is>
          <t>CNY/мес
Зарплата+налоги</t>
        </is>
      </c>
      <c r="E4" s="3" t="inlineStr">
        <is>
          <t>Компенсации жилье + обучение детей</t>
        </is>
      </c>
      <c r="F4" s="3" t="inlineStr">
        <is>
          <t>Релокация единоразово</t>
        </is>
      </c>
      <c r="G4" s="3" t="inlineStr">
        <is>
          <t>M1</t>
        </is>
      </c>
      <c r="H4" s="3" t="inlineStr">
        <is>
          <t>M2</t>
        </is>
      </c>
      <c r="I4" s="3" t="inlineStr">
        <is>
          <t>M3</t>
        </is>
      </c>
      <c r="J4" s="3" t="inlineStr">
        <is>
          <t>M4</t>
        </is>
      </c>
      <c r="K4" s="3" t="inlineStr">
        <is>
          <t>M5</t>
        </is>
      </c>
      <c r="L4" s="3" t="inlineStr">
        <is>
          <t>M6</t>
        </is>
      </c>
    </row>
    <row r="5">
      <c r="B5" s="10" t="inlineStr">
        <is>
          <t>Директор (RU, экспат)</t>
        </is>
      </c>
      <c r="C5" s="13" t="inlineStr">
        <is>
          <t>Экспат</t>
        </is>
      </c>
      <c r="D5" s="14" t="n">
        <v>50000</v>
      </c>
      <c r="E5" s="14" t="n">
        <v>20000</v>
      </c>
      <c r="F5" s="14" t="n">
        <v>0</v>
      </c>
      <c r="G5" s="15" t="inlineStr">
        <is>
          <t>●</t>
        </is>
      </c>
      <c r="H5" s="15" t="inlineStr">
        <is>
          <t>●</t>
        </is>
      </c>
      <c r="I5" s="15" t="inlineStr">
        <is>
          <t>●</t>
        </is>
      </c>
      <c r="J5" s="15" t="inlineStr">
        <is>
          <t>●</t>
        </is>
      </c>
      <c r="K5" s="15" t="inlineStr">
        <is>
          <t>●</t>
        </is>
      </c>
      <c r="L5" s="15" t="inlineStr">
        <is>
          <t>●</t>
        </is>
      </c>
    </row>
    <row r="6">
      <c r="B6" s="10" t="inlineStr">
        <is>
          <t>Технолог (RU, экспат)</t>
        </is>
      </c>
      <c r="C6" s="13" t="inlineStr">
        <is>
          <t>Экспат</t>
        </is>
      </c>
      <c r="D6" s="14" t="n">
        <v>30000</v>
      </c>
      <c r="E6" s="14" t="n">
        <v>20000</v>
      </c>
      <c r="F6" s="14" t="n">
        <v>20000</v>
      </c>
      <c r="G6" s="15" t="inlineStr"/>
      <c r="H6" s="15" t="inlineStr"/>
      <c r="I6" s="15" t="inlineStr"/>
      <c r="J6" s="15" t="inlineStr"/>
      <c r="K6" s="15" t="inlineStr"/>
      <c r="L6" s="15" t="inlineStr">
        <is>
          <t>●</t>
        </is>
      </c>
    </row>
    <row r="7">
      <c r="B7" s="10" t="inlineStr">
        <is>
          <t>Кат. менеджер — игрушки (CN)</t>
        </is>
      </c>
      <c r="C7" s="13" t="inlineStr">
        <is>
          <t>Локальный</t>
        </is>
      </c>
      <c r="D7" s="14" t="n">
        <v>18500</v>
      </c>
      <c r="E7" s="14" t="n">
        <v>0</v>
      </c>
      <c r="F7" s="14" t="n">
        <v>0</v>
      </c>
      <c r="G7" s="15" t="inlineStr"/>
      <c r="H7" s="15" t="inlineStr">
        <is>
          <t>●</t>
        </is>
      </c>
      <c r="I7" s="15" t="inlineStr">
        <is>
          <t>●</t>
        </is>
      </c>
      <c r="J7" s="15" t="inlineStr">
        <is>
          <t>●</t>
        </is>
      </c>
      <c r="K7" s="15" t="inlineStr">
        <is>
          <t>●</t>
        </is>
      </c>
      <c r="L7" s="15" t="inlineStr">
        <is>
          <t>●</t>
        </is>
      </c>
    </row>
    <row r="8">
      <c r="B8" s="10" t="inlineStr">
        <is>
          <t>Кат. менеджер — одежда (CN)</t>
        </is>
      </c>
      <c r="C8" s="13" t="inlineStr">
        <is>
          <t>Локальный</t>
        </is>
      </c>
      <c r="D8" s="14" t="n">
        <v>18500</v>
      </c>
      <c r="E8" s="14" t="n">
        <v>0</v>
      </c>
      <c r="F8" s="14" t="n">
        <v>0</v>
      </c>
      <c r="G8" s="15" t="inlineStr"/>
      <c r="H8" s="15" t="inlineStr"/>
      <c r="I8" s="15" t="inlineStr"/>
      <c r="J8" s="15" t="inlineStr">
        <is>
          <t>●</t>
        </is>
      </c>
      <c r="K8" s="15" t="inlineStr">
        <is>
          <t>●</t>
        </is>
      </c>
      <c r="L8" s="15" t="inlineStr">
        <is>
          <t>●</t>
        </is>
      </c>
    </row>
    <row r="9">
      <c r="B9" s="10" t="inlineStr">
        <is>
          <t>Кат. менеджер — аксессуары (CN)</t>
        </is>
      </c>
      <c r="C9" s="13" t="inlineStr">
        <is>
          <t>Локальный</t>
        </is>
      </c>
      <c r="D9" s="14" t="n">
        <v>18500</v>
      </c>
      <c r="E9" s="14" t="n">
        <v>0</v>
      </c>
      <c r="F9" s="14" t="n">
        <v>0</v>
      </c>
      <c r="G9" s="15" t="inlineStr"/>
      <c r="H9" s="15" t="inlineStr"/>
      <c r="I9" s="15" t="inlineStr"/>
      <c r="J9" s="15" t="inlineStr"/>
      <c r="K9" s="15" t="inlineStr"/>
      <c r="L9" s="15" t="inlineStr">
        <is>
          <t>●</t>
        </is>
      </c>
    </row>
    <row r="10">
      <c r="B10" s="10" t="inlineStr">
        <is>
          <t>Руководитель ОТК (CN)</t>
        </is>
      </c>
      <c r="C10" s="13" t="inlineStr">
        <is>
          <t>Локальный</t>
        </is>
      </c>
      <c r="D10" s="14" t="n">
        <v>18000</v>
      </c>
      <c r="E10" s="14" t="n">
        <v>0</v>
      </c>
      <c r="F10" s="14" t="n">
        <v>0</v>
      </c>
      <c r="G10" s="15" t="inlineStr"/>
      <c r="H10" s="15" t="inlineStr">
        <is>
          <t>●</t>
        </is>
      </c>
      <c r="I10" s="15" t="inlineStr">
        <is>
          <t>●</t>
        </is>
      </c>
      <c r="J10" s="15" t="inlineStr">
        <is>
          <t>●</t>
        </is>
      </c>
      <c r="K10" s="15" t="inlineStr">
        <is>
          <t>●</t>
        </is>
      </c>
      <c r="L10" s="15" t="inlineStr">
        <is>
          <t>●</t>
        </is>
      </c>
    </row>
    <row r="11">
      <c r="B11" s="10" t="inlineStr">
        <is>
          <t>Бухгалтер штатный (CN)</t>
        </is>
      </c>
      <c r="C11" s="13" t="inlineStr">
        <is>
          <t>Локальный</t>
        </is>
      </c>
      <c r="D11" s="14" t="n">
        <v>16000</v>
      </c>
      <c r="E11" s="14" t="n">
        <v>0</v>
      </c>
      <c r="F11" s="14" t="n">
        <v>0</v>
      </c>
      <c r="G11" s="15" t="inlineStr"/>
      <c r="H11" s="15" t="inlineStr"/>
      <c r="I11" s="15" t="inlineStr">
        <is>
          <t>●</t>
        </is>
      </c>
      <c r="J11" s="15" t="inlineStr">
        <is>
          <t>●</t>
        </is>
      </c>
      <c r="K11" s="15" t="inlineStr">
        <is>
          <t>●</t>
        </is>
      </c>
      <c r="L11" s="15" t="inlineStr">
        <is>
          <t>●</t>
        </is>
      </c>
    </row>
    <row r="12">
      <c r="B12" s="10" t="inlineStr">
        <is>
          <t>Инспектор ОТК №1 (CN)</t>
        </is>
      </c>
      <c r="C12" s="13" t="inlineStr">
        <is>
          <t>Локальный</t>
        </is>
      </c>
      <c r="D12" s="14" t="n">
        <v>10000</v>
      </c>
      <c r="E12" s="14" t="n">
        <v>0</v>
      </c>
      <c r="F12" s="14" t="n">
        <v>0</v>
      </c>
      <c r="G12" s="15" t="inlineStr"/>
      <c r="H12" s="15" t="inlineStr"/>
      <c r="I12" s="15" t="inlineStr"/>
      <c r="J12" s="15" t="inlineStr">
        <is>
          <t>●</t>
        </is>
      </c>
      <c r="K12" s="15" t="inlineStr">
        <is>
          <t>●</t>
        </is>
      </c>
      <c r="L12" s="15" t="inlineStr">
        <is>
          <t>●</t>
        </is>
      </c>
    </row>
    <row r="13">
      <c r="B13" s="10" t="inlineStr">
        <is>
          <t>Инспектор ОТК №2 (CN)</t>
        </is>
      </c>
      <c r="C13" s="13" t="inlineStr">
        <is>
          <t>Локальный</t>
        </is>
      </c>
      <c r="D13" s="14" t="n">
        <v>10000</v>
      </c>
      <c r="E13" s="14" t="n">
        <v>0</v>
      </c>
      <c r="F13" s="14" t="n">
        <v>0</v>
      </c>
      <c r="G13" s="15" t="inlineStr"/>
      <c r="H13" s="15" t="inlineStr"/>
      <c r="I13" s="15" t="inlineStr"/>
      <c r="J13" s="15" t="inlineStr"/>
      <c r="K13" s="15" t="inlineStr"/>
      <c r="L13" s="15" t="inlineStr">
        <is>
          <t>●</t>
        </is>
      </c>
    </row>
    <row r="14">
      <c r="B14" s="10" t="inlineStr">
        <is>
          <t>Офис-администратор (CN)</t>
        </is>
      </c>
      <c r="C14" s="13" t="inlineStr">
        <is>
          <t>Локальный</t>
        </is>
      </c>
      <c r="D14" s="14" t="n">
        <v>10000</v>
      </c>
      <c r="E14" s="14" t="n">
        <v>0</v>
      </c>
      <c r="F14" s="14" t="n">
        <v>0</v>
      </c>
      <c r="G14" s="15" t="inlineStr"/>
      <c r="H14" s="15" t="inlineStr"/>
      <c r="I14" s="15" t="inlineStr">
        <is>
          <t>●</t>
        </is>
      </c>
      <c r="J14" s="15" t="inlineStr">
        <is>
          <t>●</t>
        </is>
      </c>
      <c r="K14" s="15" t="inlineStr">
        <is>
          <t>●</t>
        </is>
      </c>
      <c r="L14" s="15" t="inlineStr">
        <is>
          <t>●</t>
        </is>
      </c>
    </row>
    <row r="15">
      <c r="B15" s="16" t="inlineStr">
        <is>
          <t>Активных сотрудников</t>
        </is>
      </c>
      <c r="G15" s="17">
        <f>COUNTIF(G5:G14,"●")</f>
        <v/>
      </c>
      <c r="H15" s="17">
        <f>COUNTIF(H5:H14,"●")</f>
        <v/>
      </c>
      <c r="I15" s="17">
        <f>COUNTIF(I5:I14,"●")</f>
        <v/>
      </c>
      <c r="J15" s="17">
        <f>COUNTIF(J5:J14,"●")</f>
        <v/>
      </c>
      <c r="K15" s="17">
        <f>COUNTIF(K5:K14,"●")</f>
        <v/>
      </c>
      <c r="L15" s="17">
        <f>COUNTIF(L5:L14,"●")</f>
        <v/>
      </c>
    </row>
    <row r="17">
      <c r="B17" s="10" t="inlineStr">
        <is>
          <t>Ставка соцвзносов (локальные)</t>
        </is>
      </c>
      <c r="D17" s="18" t="n">
        <v>0.35</v>
      </c>
    </row>
    <row r="18">
      <c r="B18" s="10" t="inlineStr">
        <is>
          <t>Ставка соцвзносов (экспаты)</t>
        </is>
      </c>
      <c r="D18" s="18" t="n">
        <v>0.15</v>
      </c>
    </row>
    <row r="19">
      <c r="B19" s="10" t="inlineStr">
        <is>
          <t>Налог RO (deemed)</t>
        </is>
      </c>
      <c r="D19" s="18" t="n">
        <v>0.1</v>
      </c>
    </row>
    <row r="20">
      <c r="B20" s="10" t="inlineStr">
        <is>
          <t>Курс CNY-&gt;RUB</t>
        </is>
      </c>
      <c r="D20" s="14" t="n">
        <v>12</v>
      </c>
    </row>
    <row r="22">
      <c r="B22" s="19" t="inlineStr">
        <is>
          <t>Прочие OPEX-драйверы</t>
        </is>
      </c>
    </row>
    <row r="23">
      <c r="B23" s="3" t="inlineStr">
        <is>
          <t>Статья</t>
        </is>
      </c>
      <c r="C23" s="3" t="inlineStr">
        <is>
          <t>M1</t>
        </is>
      </c>
      <c r="D23" s="3" t="inlineStr">
        <is>
          <t>M2</t>
        </is>
      </c>
      <c r="E23" s="3" t="inlineStr">
        <is>
          <t>M3</t>
        </is>
      </c>
      <c r="F23" s="3" t="inlineStr">
        <is>
          <t>M4</t>
        </is>
      </c>
      <c r="G23" s="3" t="inlineStr">
        <is>
          <t>M5</t>
        </is>
      </c>
      <c r="H23" s="3" t="inlineStr">
        <is>
          <t>M6</t>
        </is>
      </c>
    </row>
    <row r="24">
      <c r="B24" s="10" t="inlineStr">
        <is>
          <t>Аутсорс-бухгалтерия</t>
        </is>
      </c>
      <c r="G24" s="14" t="n">
        <v>8000</v>
      </c>
      <c r="H24" s="14" t="n">
        <v>8000</v>
      </c>
      <c r="I24" s="14" t="n">
        <v>8000</v>
      </c>
      <c r="J24" s="14" t="n">
        <v>0</v>
      </c>
      <c r="K24" s="14" t="n">
        <v>0</v>
      </c>
      <c r="L24" s="14" t="n">
        <v>0</v>
      </c>
    </row>
    <row r="25">
      <c r="B25" s="10" t="inlineStr">
        <is>
          <t>Аренда офиса</t>
        </is>
      </c>
      <c r="G25" s="14" t="n">
        <v>6000</v>
      </c>
      <c r="H25" s="14" t="n">
        <v>6000</v>
      </c>
      <c r="I25" s="14" t="n">
        <v>20000</v>
      </c>
      <c r="J25" s="14" t="n">
        <v>20000</v>
      </c>
      <c r="K25" s="14" t="n">
        <v>20000</v>
      </c>
      <c r="L25" s="14" t="n">
        <v>20000</v>
      </c>
    </row>
    <row r="26">
      <c r="B26" s="10" t="inlineStr">
        <is>
          <t>Командировки и QC-выезды</t>
        </is>
      </c>
      <c r="G26" s="14" t="n">
        <v>5000</v>
      </c>
      <c r="H26" s="14" t="n">
        <v>10000</v>
      </c>
      <c r="I26" s="14" t="n">
        <v>20000</v>
      </c>
      <c r="J26" s="14" t="n">
        <v>30000</v>
      </c>
      <c r="K26" s="14" t="n">
        <v>35000</v>
      </c>
      <c r="L26" s="14" t="n">
        <v>35000</v>
      </c>
    </row>
    <row r="27">
      <c r="B27" s="10" t="inlineStr">
        <is>
          <t>IT / связь (opex)</t>
        </is>
      </c>
      <c r="G27" s="14" t="n">
        <v>3000</v>
      </c>
      <c r="H27" s="14" t="n">
        <v>5000</v>
      </c>
      <c r="I27" s="14" t="n">
        <v>5000</v>
      </c>
      <c r="J27" s="14" t="n">
        <v>5000</v>
      </c>
      <c r="K27" s="14" t="n">
        <v>5000</v>
      </c>
      <c r="L27" s="14" t="n">
        <v>5000</v>
      </c>
    </row>
    <row r="28">
      <c r="B28" s="10" t="inlineStr">
        <is>
          <t>Юр./комплаенс-ретейнер</t>
        </is>
      </c>
      <c r="G28" s="14" t="n">
        <v>10000</v>
      </c>
      <c r="H28" s="14" t="n">
        <v>8000</v>
      </c>
      <c r="I28" s="14" t="n">
        <v>5000</v>
      </c>
      <c r="J28" s="14" t="n">
        <v>5000</v>
      </c>
      <c r="K28" s="14" t="n">
        <v>5000</v>
      </c>
      <c r="L28" s="14" t="n">
        <v>5000</v>
      </c>
    </row>
    <row r="29">
      <c r="B29" s="10" t="inlineStr">
        <is>
          <t>Прочее (перевод, ресёрч, hospit.)</t>
        </is>
      </c>
      <c r="G29" s="14" t="n">
        <v>3000</v>
      </c>
      <c r="H29" s="14" t="n">
        <v>3000</v>
      </c>
      <c r="I29" s="14" t="n">
        <v>3000</v>
      </c>
      <c r="J29" s="14" t="n">
        <v>3000</v>
      </c>
      <c r="K29" s="14" t="n">
        <v>3000</v>
      </c>
      <c r="L29" s="14" t="n">
        <v>3000</v>
      </c>
    </row>
    <row r="31">
      <c r="B31" s="19" t="inlineStr">
        <is>
          <t>Распределение CAPEX по месяцам (для денежного потока)</t>
        </is>
      </c>
      <c r="G31" s="3" t="inlineStr">
        <is>
          <t>M1</t>
        </is>
      </c>
      <c r="H31" s="3" t="inlineStr">
        <is>
          <t>M2</t>
        </is>
      </c>
      <c r="I31" s="3" t="inlineStr">
        <is>
          <t>M3</t>
        </is>
      </c>
      <c r="J31" s="3" t="inlineStr">
        <is>
          <t>M4</t>
        </is>
      </c>
      <c r="K31" s="3" t="inlineStr">
        <is>
          <t>M5</t>
        </is>
      </c>
      <c r="L31" s="3" t="inlineStr">
        <is>
          <t>M6</t>
        </is>
      </c>
    </row>
    <row r="32">
      <c r="G32" s="14" t="n">
        <v>144000</v>
      </c>
      <c r="H32" s="14" t="n">
        <v>72000</v>
      </c>
      <c r="I32" s="14" t="n">
        <v>13000</v>
      </c>
      <c r="J32" s="14" t="n">
        <v>10000</v>
      </c>
      <c r="K32" s="14" t="n">
        <v>0</v>
      </c>
      <c r="L32" s="14" t="n">
        <v>0</v>
      </c>
    </row>
    <row r="34">
      <c r="B34" s="3" t="inlineStr">
        <is>
          <t>Статья</t>
        </is>
      </c>
      <c r="C34" s="3" t="inlineStr">
        <is>
          <t>CNY</t>
        </is>
      </c>
      <c r="D34" s="3" t="inlineStr">
        <is>
          <t>Комментарий</t>
        </is>
      </c>
    </row>
    <row r="35">
      <c r="B35" s="10" t="inlineStr">
        <is>
          <t>Юридическая регистрация RO</t>
        </is>
      </c>
      <c r="C35" s="14" t="n">
        <v>20000</v>
      </c>
      <c r="D35" s="10" t="inlineStr">
        <is>
          <t>6–10 недель</t>
        </is>
      </c>
    </row>
    <row r="36">
      <c r="B36" s="10" t="inlineStr">
        <is>
          <t>Регистрация ТМ в CNIPA (3 марки)</t>
        </is>
      </c>
      <c r="C36" s="14" t="n">
        <v>10000</v>
      </c>
      <c r="D36" s="10" t="inlineStr">
        <is>
          <t>до начала sourcing</t>
        </is>
      </c>
    </row>
    <row r="37">
      <c r="B37" s="10" t="inlineStr">
        <is>
          <t>Офис: депозит + ремонт/мебель (~100 м²)</t>
        </is>
      </c>
      <c r="C37" s="14" t="n">
        <v>15000</v>
      </c>
      <c r="D37" s="10" t="inlineStr">
        <is>
          <t>Шанхай Grade A/B</t>
        </is>
      </c>
    </row>
    <row r="38">
      <c r="B38" s="10" t="inlineStr">
        <is>
          <t>IT-капекс (ноутбуки, VPN, ERP-коннектор)</t>
        </is>
      </c>
      <c r="C38" s="14" t="n">
        <v>50000</v>
      </c>
      <c r="D38" s="10" t="inlineStr">
        <is>
          <t>подключение к HQ</t>
        </is>
      </c>
    </row>
    <row r="39">
      <c r="B39" s="10" t="inlineStr">
        <is>
          <t>Стартовые командировки</t>
        </is>
      </c>
      <c r="C39" s="14" t="n">
        <v>86000</v>
      </c>
      <c r="D39" s="10" t="inlineStr">
        <is>
          <t>3–4 поездки</t>
        </is>
      </c>
    </row>
    <row r="40">
      <c r="B40" s="10" t="inlineStr">
        <is>
          <t>Оборудование ОТК</t>
        </is>
      </c>
      <c r="C40" s="14" t="n">
        <v>10000</v>
      </c>
      <c r="D40" s="10" t="inlineStr">
        <is>
          <t>полевой набор</t>
        </is>
      </c>
    </row>
    <row r="41">
      <c r="B41" s="10" t="inlineStr">
        <is>
          <t>Резерв (contingency ~10%)</t>
        </is>
      </c>
      <c r="C41" s="14" t="n">
        <v>48000</v>
      </c>
      <c r="D41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2">
      <c r="B2" s="1" t="inlineStr">
        <is>
          <t>OPEX помесячно (CNY)</t>
        </is>
      </c>
    </row>
    <row r="4">
      <c r="B4" s="3" t="inlineStr">
        <is>
          <t>Статья</t>
        </is>
      </c>
      <c r="C4" s="3" t="inlineStr">
        <is>
          <t>M1</t>
        </is>
      </c>
      <c r="D4" s="3" t="inlineStr">
        <is>
          <t>M2</t>
        </is>
      </c>
      <c r="E4" s="3" t="inlineStr">
        <is>
          <t>M3</t>
        </is>
      </c>
      <c r="F4" s="3" t="inlineStr">
        <is>
          <t>M4</t>
        </is>
      </c>
      <c r="G4" s="3" t="inlineStr">
        <is>
          <t>M5</t>
        </is>
      </c>
      <c r="H4" s="3" t="inlineStr">
        <is>
          <t>M6</t>
        </is>
      </c>
      <c r="I4" s="3" t="inlineStr">
        <is>
          <t>Итого</t>
        </is>
      </c>
    </row>
    <row r="5">
      <c r="B5" s="10" t="inlineStr">
        <is>
          <t>ФОТ (gross)</t>
        </is>
      </c>
      <c r="C5" s="11">
        <f>SUMPRODUCT(--('Зарплаты и найм'!$G$5:$G$14="●"),'Зарплаты и найм'!$D$5:$D$14+'Зарплаты и найм'!$E$5:$E$14)+SUMPRODUCT(--('Зарплаты и найм'!$G$5:$G$14="●"),'Зарплаты и найм'!$F$5:$F$14)</f>
        <v/>
      </c>
      <c r="D5" s="11">
        <f>SUMPRODUCT(--('Зарплаты и найм'!$H$5:$H$14="●"),'Зарплаты и найм'!$D$5:$D$14+'Зарплаты и найм'!$E$5:$E$14)+SUMPRODUCT(--('Зарплаты и найм'!$H$5:$H$14="●"),--('Зарплаты и найм'!$G$5:$G$14&lt;&gt;"●"),'Зарплаты и найм'!$F$5:$F$14)</f>
        <v/>
      </c>
      <c r="E5" s="11">
        <f>SUMPRODUCT(--('Зарплаты и найм'!$I$5:$I$14="●"),'Зарплаты и найм'!$D$5:$D$14+'Зарплаты и найм'!$E$5:$E$14)+SUMPRODUCT(--('Зарплаты и найм'!$I$5:$I$14="●"),--('Зарплаты и найм'!$H$5:$H$14&lt;&gt;"●"),'Зарплаты и найм'!$F$5:$F$14)</f>
        <v/>
      </c>
      <c r="F5" s="11">
        <f>SUMPRODUCT(--('Зарплаты и найм'!$J$5:$J$14="●"),'Зарплаты и найм'!$D$5:$D$14+'Зарплаты и найм'!$E$5:$E$14)+SUMPRODUCT(--('Зарплаты и найм'!$J$5:$J$14="●"),--('Зарплаты и найм'!$I$5:$I$14&lt;&gt;"●"),'Зарплаты и найм'!$F$5:$F$14)</f>
        <v/>
      </c>
      <c r="G5" s="11">
        <f>SUMPRODUCT(--('Зарплаты и найм'!$K$5:$K$14="●"),'Зарплаты и найм'!$D$5:$D$14+'Зарплаты и найм'!$E$5:$E$14)+SUMPRODUCT(--('Зарплаты и найм'!$K$5:$K$14="●"),--('Зарплаты и найм'!$J$5:$J$14&lt;&gt;"●"),'Зарплаты и найм'!$F$5:$F$14)</f>
        <v/>
      </c>
      <c r="H5" s="11">
        <f>SUMPRODUCT(--('Зарплаты и найм'!$L$5:$L$14="●"),'Зарплаты и найм'!$D$5:$D$14+'Зарплаты и найм'!$E$5:$E$14)+SUMPRODUCT(--('Зарплаты и найм'!$L$5:$L$14="●"),--('Зарплаты и найм'!$K$5:$K$14&lt;&gt;"●"),'Зарплаты и найм'!$F$5:$F$14)</f>
        <v/>
      </c>
      <c r="I5" s="11">
        <f>SUM(C5:H5)</f>
        <v/>
      </c>
    </row>
    <row r="6">
      <c r="B6" s="10" t="inlineStr">
        <is>
          <t>Соцвзносы</t>
        </is>
      </c>
      <c r="C6" s="11">
        <f>ROUND(SUMPRODUCT(--('Зарплаты и найм'!$G$5:$G$14="●"),--('Зарплаты и найм'!$C$5:$C$14="Локальный"),'Зарплаты и найм'!$D$5:$D$14+'Зарплаты и найм'!$E$5:$E$14)*'Зарплаты и найм'!$D17+SUMPRODUCT(--('Зарплаты и найм'!$G$5:$G$14="●"),--('Зарплаты и найм'!$C$5:$C$14="Экспат"),'Зарплаты и найм'!$D$5:$D$14+'Зарплаты и найм'!$E$5:$E$14)*'Зарплаты и найм'!$D18,0)</f>
        <v/>
      </c>
      <c r="D6" s="11">
        <f>ROUND(SUMPRODUCT(--('Зарплаты и найм'!$H$5:$H$14="●"),--('Зарплаты и найм'!$C$5:$C$14="Локальный"),'Зарплаты и найм'!$D$5:$D$14+'Зарплаты и найм'!$E$5:$E$14)*'Зарплаты и найм'!$D17+SUMPRODUCT(--('Зарплаты и найм'!$H$5:$H$14="●"),--('Зарплаты и найм'!$C$5:$C$14="Экспат"),'Зарплаты и найм'!$D$5:$D$14+'Зарплаты и найм'!$E$5:$E$14)*'Зарплаты и найм'!$D18,0)</f>
        <v/>
      </c>
      <c r="E6" s="11">
        <f>ROUND(SUMPRODUCT(--('Зарплаты и найм'!$I$5:$I$14="●"),--('Зарплаты и найм'!$C$5:$C$14="Локальный"),'Зарплаты и найм'!$D$5:$D$14+'Зарплаты и найм'!$E$5:$E$14)*'Зарплаты и найм'!$D17+SUMPRODUCT(--('Зарплаты и найм'!$I$5:$I$14="●"),--('Зарплаты и найм'!$C$5:$C$14="Экспат"),'Зарплаты и найм'!$D$5:$D$14+'Зарплаты и найм'!$E$5:$E$14)*'Зарплаты и найм'!$D18,0)</f>
        <v/>
      </c>
      <c r="F6" s="11">
        <f>ROUND(SUMPRODUCT(--('Зарплаты и найм'!$J$5:$J$14="●"),--('Зарплаты и найм'!$C$5:$C$14="Локальный"),'Зарплаты и найм'!$D$5:$D$14+'Зарплаты и найм'!$E$5:$E$14)*'Зарплаты и найм'!$D17+SUMPRODUCT(--('Зарплаты и найм'!$J$5:$J$14="●"),--('Зарплаты и найм'!$C$5:$C$14="Экспат"),'Зарплаты и найм'!$D$5:$D$14+'Зарплаты и найм'!$E$5:$E$14)*'Зарплаты и найм'!$D18,0)</f>
        <v/>
      </c>
      <c r="G6" s="11">
        <f>ROUND(SUMPRODUCT(--('Зарплаты и найм'!$K$5:$K$14="●"),--('Зарплаты и найм'!$C$5:$C$14="Локальный"),'Зарплаты и найм'!$D$5:$D$14+'Зарплаты и найм'!$E$5:$E$14)*'Зарплаты и найм'!$D17+SUMPRODUCT(--('Зарплаты и найм'!$K$5:$K$14="●"),--('Зарплаты и найм'!$C$5:$C$14="Экспат"),'Зарплаты и найм'!$D$5:$D$14+'Зарплаты и найм'!$E$5:$E$14)*'Зарплаты и найм'!$D18,0)</f>
        <v/>
      </c>
      <c r="H6" s="11">
        <f>ROUND(SUMPRODUCT(--('Зарплаты и найм'!$L$5:$L$14="●"),--('Зарплаты и найм'!$C$5:$C$14="Локальный"),'Зарплаты и найм'!$D$5:$D$14+'Зарплаты и найм'!$E$5:$E$14)*'Зарплаты и найм'!$D17+SUMPRODUCT(--('Зарплаты и найм'!$L$5:$L$14="●"),--('Зарплаты и найм'!$C$5:$C$14="Экспат"),'Зарплаты и найм'!$D$5:$D$14+'Зарплаты и найм'!$E$5:$E$14)*'Зарплаты и найм'!$D18,0)</f>
        <v/>
      </c>
      <c r="I6" s="11">
        <f>SUM(C6:H6)</f>
        <v/>
      </c>
    </row>
    <row r="7">
      <c r="B7" s="10" t="inlineStr">
        <is>
          <t>Аутсорс-бухгалтерия</t>
        </is>
      </c>
      <c r="C7" s="11">
        <f>'Зарплаты и найм'!G24</f>
        <v/>
      </c>
      <c r="D7" s="11">
        <f>'Зарплаты и найм'!H24</f>
        <v/>
      </c>
      <c r="E7" s="11">
        <f>'Зарплаты и найм'!I24</f>
        <v/>
      </c>
      <c r="F7" s="11">
        <f>'Зарплаты и найм'!J24</f>
        <v/>
      </c>
      <c r="G7" s="11">
        <f>'Зарплаты и найм'!K24</f>
        <v/>
      </c>
      <c r="H7" s="11">
        <f>'Зарплаты и найм'!L24</f>
        <v/>
      </c>
      <c r="I7" s="11">
        <f>SUM(C7:H7)</f>
        <v/>
      </c>
    </row>
    <row r="8">
      <c r="B8" s="10" t="inlineStr">
        <is>
          <t>Аренда офиса</t>
        </is>
      </c>
      <c r="C8" s="11">
        <f>'Зарплаты и найм'!G25</f>
        <v/>
      </c>
      <c r="D8" s="11">
        <f>'Зарплаты и найм'!H25</f>
        <v/>
      </c>
      <c r="E8" s="11">
        <f>'Зарплаты и найм'!I25</f>
        <v/>
      </c>
      <c r="F8" s="11">
        <f>'Зарплаты и найм'!J25</f>
        <v/>
      </c>
      <c r="G8" s="11">
        <f>'Зарплаты и найм'!K25</f>
        <v/>
      </c>
      <c r="H8" s="11">
        <f>'Зарплаты и найм'!L25</f>
        <v/>
      </c>
      <c r="I8" s="11">
        <f>SUM(C8:H8)</f>
        <v/>
      </c>
    </row>
    <row r="9">
      <c r="B9" s="10" t="inlineStr">
        <is>
          <t>Командировки и QC-выезды</t>
        </is>
      </c>
      <c r="C9" s="11">
        <f>'Зарплаты и найм'!G26</f>
        <v/>
      </c>
      <c r="D9" s="11">
        <f>'Зарплаты и найм'!H26</f>
        <v/>
      </c>
      <c r="E9" s="11">
        <f>'Зарплаты и найм'!I26</f>
        <v/>
      </c>
      <c r="F9" s="11">
        <f>'Зарплаты и найм'!J26</f>
        <v/>
      </c>
      <c r="G9" s="11">
        <f>'Зарплаты и найм'!K26</f>
        <v/>
      </c>
      <c r="H9" s="11">
        <f>'Зарплаты и найм'!L26</f>
        <v/>
      </c>
      <c r="I9" s="11">
        <f>SUM(C9:H9)</f>
        <v/>
      </c>
    </row>
    <row r="10">
      <c r="B10" s="10" t="inlineStr">
        <is>
          <t>IT / связь (opex)</t>
        </is>
      </c>
      <c r="C10" s="11">
        <f>'Зарплаты и найм'!G27</f>
        <v/>
      </c>
      <c r="D10" s="11">
        <f>'Зарплаты и найм'!H27</f>
        <v/>
      </c>
      <c r="E10" s="11">
        <f>'Зарплаты и найм'!I27</f>
        <v/>
      </c>
      <c r="F10" s="11">
        <f>'Зарплаты и найм'!J27</f>
        <v/>
      </c>
      <c r="G10" s="11">
        <f>'Зарплаты и найм'!K27</f>
        <v/>
      </c>
      <c r="H10" s="11">
        <f>'Зарплаты и найм'!L27</f>
        <v/>
      </c>
      <c r="I10" s="11">
        <f>SUM(C10:H10)</f>
        <v/>
      </c>
    </row>
    <row r="11">
      <c r="B11" s="10" t="inlineStr">
        <is>
          <t>Юр./комплаенс-ретейнер</t>
        </is>
      </c>
      <c r="C11" s="11">
        <f>'Зарплаты и найм'!G28</f>
        <v/>
      </c>
      <c r="D11" s="11">
        <f>'Зарплаты и найм'!H28</f>
        <v/>
      </c>
      <c r="E11" s="11">
        <f>'Зарплаты и найм'!I28</f>
        <v/>
      </c>
      <c r="F11" s="11">
        <f>'Зарплаты и найм'!J28</f>
        <v/>
      </c>
      <c r="G11" s="11">
        <f>'Зарплаты и найм'!K28</f>
        <v/>
      </c>
      <c r="H11" s="11">
        <f>'Зарплаты и найм'!L28</f>
        <v/>
      </c>
      <c r="I11" s="11">
        <f>SUM(C11:H11)</f>
        <v/>
      </c>
    </row>
    <row r="12">
      <c r="B12" s="10" t="inlineStr">
        <is>
          <t>Прочее (перевод, ресёрч, hospit.)</t>
        </is>
      </c>
      <c r="C12" s="11">
        <f>'Зарплаты и найм'!G29</f>
        <v/>
      </c>
      <c r="D12" s="11">
        <f>'Зарплаты и найм'!H29</f>
        <v/>
      </c>
      <c r="E12" s="11">
        <f>'Зарплаты и найм'!I29</f>
        <v/>
      </c>
      <c r="F12" s="11">
        <f>'Зарплаты и найм'!J29</f>
        <v/>
      </c>
      <c r="G12" s="11">
        <f>'Зарплаты и найм'!K29</f>
        <v/>
      </c>
      <c r="H12" s="11">
        <f>'Зарплаты и найм'!L29</f>
        <v/>
      </c>
      <c r="I12" s="11">
        <f>SUM(C12:H12)</f>
        <v/>
      </c>
    </row>
    <row r="13">
      <c r="B13" s="16" t="inlineStr">
        <is>
          <t>Подытог (до налога RO)</t>
        </is>
      </c>
      <c r="C13" s="20">
        <f>SUM(C5:C12)</f>
        <v/>
      </c>
      <c r="D13" s="20">
        <f>SUM(D5:D12)</f>
        <v/>
      </c>
      <c r="E13" s="20">
        <f>SUM(E5:E12)</f>
        <v/>
      </c>
      <c r="F13" s="20">
        <f>SUM(F5:F12)</f>
        <v/>
      </c>
      <c r="G13" s="20">
        <f>SUM(G5:G12)</f>
        <v/>
      </c>
      <c r="H13" s="20">
        <f>SUM(H5:H12)</f>
        <v/>
      </c>
      <c r="I13" s="20">
        <f>SUM(C13:H13)</f>
        <v/>
      </c>
    </row>
    <row r="14">
      <c r="B14" s="10" t="inlineStr">
        <is>
          <t>Налог RO (deemed)</t>
        </is>
      </c>
      <c r="C14" s="11">
        <f>ROUND(C13*'Зарплаты и найм'!$D19,0)</f>
        <v/>
      </c>
      <c r="D14" s="11">
        <f>ROUND(D13*'Зарплаты и найм'!$D19,0)</f>
        <v/>
      </c>
      <c r="E14" s="11">
        <f>ROUND(E13*'Зарплаты и найм'!$D19,0)</f>
        <v/>
      </c>
      <c r="F14" s="11">
        <f>ROUND(F13*'Зарплаты и найм'!$D19,0)</f>
        <v/>
      </c>
      <c r="G14" s="11">
        <f>ROUND(G13*'Зарплаты и найм'!$D19,0)</f>
        <v/>
      </c>
      <c r="H14" s="11">
        <f>ROUND(H13*'Зарплаты и найм'!$D19,0)</f>
        <v/>
      </c>
      <c r="I14" s="11">
        <f>SUM(C14:H14)</f>
        <v/>
      </c>
    </row>
    <row r="15">
      <c r="B15" s="8" t="inlineStr">
        <is>
          <t>ИТОГО OPEX/мес</t>
        </is>
      </c>
      <c r="C15" s="9">
        <f>C13+C14</f>
        <v/>
      </c>
      <c r="D15" s="9">
        <f>D13+D14</f>
        <v/>
      </c>
      <c r="E15" s="9">
        <f>E13+E14</f>
        <v/>
      </c>
      <c r="F15" s="9">
        <f>F13+F14</f>
        <v/>
      </c>
      <c r="G15" s="9">
        <f>G13+G14</f>
        <v/>
      </c>
      <c r="H15" s="9">
        <f>H13+H14</f>
        <v/>
      </c>
      <c r="I15" s="9">
        <f>SUM(C15:H15)</f>
        <v/>
      </c>
    </row>
    <row r="16">
      <c r="B16" s="10" t="inlineStr">
        <is>
          <t>ИТОГО OPEX/мес, RUB</t>
        </is>
      </c>
      <c r="C16" s="11">
        <f>C15*'Зарплаты и найм'!$D20</f>
        <v/>
      </c>
      <c r="D16" s="11">
        <f>D15*'Зарплаты и найм'!$D20</f>
        <v/>
      </c>
      <c r="E16" s="11">
        <f>E15*'Зарплаты и найм'!$D20</f>
        <v/>
      </c>
      <c r="F16" s="11">
        <f>F15*'Зарплаты и найм'!$D20</f>
        <v/>
      </c>
      <c r="G16" s="11">
        <f>G15*'Зарплаты и найм'!$D20</f>
        <v/>
      </c>
      <c r="H16" s="11">
        <f>H15*'Зарплаты и найм'!$D20</f>
        <v/>
      </c>
      <c r="I16" s="11">
        <f>SUM(C16:H16)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2">
      <c r="B2" s="1" t="inlineStr">
        <is>
          <t>Денежный поток (CAPEX + OPEX), CNY</t>
        </is>
      </c>
    </row>
    <row r="4">
      <c r="B4" s="3" t="inlineStr">
        <is>
          <t>Статья</t>
        </is>
      </c>
      <c r="C4" s="3" t="inlineStr">
        <is>
          <t>M1</t>
        </is>
      </c>
      <c r="D4" s="3" t="inlineStr">
        <is>
          <t>M2</t>
        </is>
      </c>
      <c r="E4" s="3" t="inlineStr">
        <is>
          <t>M3</t>
        </is>
      </c>
      <c r="F4" s="3" t="inlineStr">
        <is>
          <t>M4</t>
        </is>
      </c>
      <c r="G4" s="3" t="inlineStr">
        <is>
          <t>M5</t>
        </is>
      </c>
      <c r="H4" s="3" t="inlineStr">
        <is>
          <t>M6</t>
        </is>
      </c>
      <c r="I4" s="3" t="inlineStr">
        <is>
          <t>Итого</t>
        </is>
      </c>
    </row>
    <row r="5">
      <c r="B5" s="4" t="inlineStr">
        <is>
          <t>CAPEX</t>
        </is>
      </c>
      <c r="C5" s="5">
        <f>'Зарплаты и найм'!G32</f>
        <v/>
      </c>
      <c r="D5" s="5">
        <f>'Зарплаты и найм'!H32</f>
        <v/>
      </c>
      <c r="E5" s="5">
        <f>'Зарплаты и найм'!I32</f>
        <v/>
      </c>
      <c r="F5" s="5">
        <f>'Зарплаты и найм'!J32</f>
        <v/>
      </c>
      <c r="G5" s="5">
        <f>'Зарплаты и найм'!K32</f>
        <v/>
      </c>
      <c r="H5" s="5">
        <f>'Зарплаты и найм'!L32</f>
        <v/>
      </c>
      <c r="I5" s="5">
        <f>SUM(C5:H5)</f>
        <v/>
      </c>
    </row>
    <row r="6">
      <c r="B6" s="10" t="inlineStr">
        <is>
          <t>OPEX</t>
        </is>
      </c>
      <c r="C6" s="11">
        <f>'OPEX помесячно'!C15</f>
        <v/>
      </c>
      <c r="D6" s="11">
        <f>'OPEX помесячно'!D15</f>
        <v/>
      </c>
      <c r="E6" s="11">
        <f>'OPEX помесячно'!E15</f>
        <v/>
      </c>
      <c r="F6" s="11">
        <f>'OPEX помесячно'!F15</f>
        <v/>
      </c>
      <c r="G6" s="11">
        <f>'OPEX помесячно'!G15</f>
        <v/>
      </c>
      <c r="H6" s="11">
        <f>'OPEX помесячно'!H15</f>
        <v/>
      </c>
      <c r="I6" s="11">
        <f>SUM(C6:H6)</f>
        <v/>
      </c>
    </row>
    <row r="7">
      <c r="B7" s="8" t="inlineStr">
        <is>
          <t>Итого/мес</t>
        </is>
      </c>
      <c r="C7" s="9">
        <f>C5+C6</f>
        <v/>
      </c>
      <c r="D7" s="9">
        <f>D5+D6</f>
        <v/>
      </c>
      <c r="E7" s="9">
        <f>E5+E6</f>
        <v/>
      </c>
      <c r="F7" s="9">
        <f>F5+F6</f>
        <v/>
      </c>
      <c r="G7" s="9">
        <f>G5+G6</f>
        <v/>
      </c>
      <c r="H7" s="9">
        <f>H5+H6</f>
        <v/>
      </c>
      <c r="I7" s="9">
        <f>SUM(C7:H7)</f>
        <v/>
      </c>
    </row>
    <row r="8">
      <c r="B8" s="10" t="inlineStr">
        <is>
          <t>Итого/мес, RUB</t>
        </is>
      </c>
      <c r="C8" s="11">
        <f>C7*'Зарплаты и найм'!$D20</f>
        <v/>
      </c>
      <c r="D8" s="11">
        <f>D7*'Зарплаты и найм'!$D20</f>
        <v/>
      </c>
      <c r="E8" s="11">
        <f>E7*'Зарплаты и найм'!$D20</f>
        <v/>
      </c>
      <c r="F8" s="11">
        <f>F7*'Зарплаты и найм'!$D20</f>
        <v/>
      </c>
      <c r="G8" s="11">
        <f>G7*'Зарплаты и найм'!$D20</f>
        <v/>
      </c>
      <c r="H8" s="11">
        <f>H7*'Зарплаты и найм'!$D20</f>
        <v/>
      </c>
      <c r="I8" s="11">
        <f>SUM(C8:H8)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2026-05-29T08:14:42Z</dcterms:created>
  <dcterms:modified xmlns:dcterms="http://purl.org/dc/terms/" xmlns:xsi="http://www.w3.org/2001/XMLSchema-instance" xsi:type="dcterms:W3CDTF">2026-05-29T08:14:42Z</dcterms:modified>
</cp:coreProperties>
</file>